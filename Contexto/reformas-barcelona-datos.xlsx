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Tarifas" sheetId="3" state="visible" r:id="rId3"/>
    <sheet xmlns:r="http://schemas.openxmlformats.org/officeDocument/2006/relationships" name="Qué incluye" sheetId="4" state="visible" r:id="rId4"/>
    <sheet xmlns:r="http://schemas.openxmlformats.org/officeDocument/2006/relationships" name="Extras" sheetId="5" state="visible" r:id="rId5"/>
    <sheet xmlns:r="http://schemas.openxmlformats.org/officeDocument/2006/relationships" name="Plazos" sheetId="6" state="visible" r:id="rId6"/>
    <sheet xmlns:r="http://schemas.openxmlformats.org/officeDocument/2006/relationships" name="Condiciones" sheetId="7" state="visible" r:id="rId7"/>
    <sheet xmlns:r="http://schemas.openxmlformats.org/officeDocument/2006/relationships" name="Ejemplo de cálcu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-#,##0 &quot;€&quot;"/>
    <numFmt numFmtId="165" formatCode="#,##0.0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2A2A2A"/>
      <sz val="16"/>
    </font>
    <font>
      <name val="Calibri"/>
      <color rgb="006E6A66"/>
      <sz val="10"/>
    </font>
    <font>
      <name val="Calibri"/>
      <b val="1"/>
      <color rgb="002A2A2A"/>
      <sz val="10.5"/>
    </font>
    <font>
      <name val="Calibri"/>
      <color rgb="002A2A2A"/>
      <sz val="10.5"/>
    </font>
    <font>
      <name val="Calibri"/>
      <b val="1"/>
      <color rgb="00C4552D"/>
      <sz val="10.5"/>
    </font>
    <font>
      <name val="Calibri"/>
      <b val="1"/>
      <color rgb="00FFFFFF"/>
      <sz val="10"/>
    </font>
    <font>
      <name val="Calibri"/>
      <b val="1"/>
      <color rgb="00C4552D"/>
      <sz val="11"/>
    </font>
    <font>
      <name val="Calibri"/>
      <i val="1"/>
      <color rgb="006E6A66"/>
      <sz val="10"/>
    </font>
  </fonts>
  <fills count="3">
    <fill>
      <patternFill/>
    </fill>
    <fill>
      <patternFill patternType="gray125"/>
    </fill>
    <fill>
      <patternFill patternType="solid">
        <fgColor rgb="00C4552D"/>
      </patternFill>
    </fill>
  </fills>
  <borders count="2">
    <border>
      <left/>
      <right/>
      <top/>
      <bottom/>
      <diagonal/>
    </border>
    <border>
      <bottom style="thin">
        <color rgb="00DDD6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0" pivotButton="0" quotePrefix="0" xfId="0"/>
    <xf numFmtId="165" fontId="3" fillId="0" borderId="0" pivotButton="0" quotePrefix="0" xfId="0"/>
    <xf numFmtId="165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256222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4552D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4" customHeight="1">
      <c r="A1" s="1" t="inlineStr">
        <is>
          <t>Léeme</t>
        </is>
      </c>
    </row>
    <row r="2">
      <c r="A2" s="2" t="inlineStr">
        <is>
          <t>Datos de Reformas Barcelona para el caso práctico de NU Automatiza (empresa ficticia).</t>
        </is>
      </c>
    </row>
    <row r="4">
      <c r="A4" s="3" t="inlineStr">
        <is>
          <t>Empresa</t>
        </is>
      </c>
      <c r="B4" s="4" t="inlineStr">
        <is>
          <t>Datos de la empresa, colores y tono para que la web y el presupuesto tengan su imagen.</t>
        </is>
      </c>
    </row>
    <row r="5">
      <c r="A5" s="3" t="inlineStr">
        <is>
          <t>Tarifas</t>
        </is>
      </c>
      <c r="B5" s="4" t="inlineStr">
        <is>
          <t>Precio por m² según el tipo de estancia y la calidad de acabados (materiales y mano de obra incluidos).</t>
        </is>
      </c>
    </row>
    <row r="6">
      <c r="A6" s="3" t="inlineStr">
        <is>
          <t>Qué incluye</t>
        </is>
      </c>
      <c r="B6" s="4" t="inlineStr">
        <is>
          <t>Qué materiales entran en cada calidad. Útil para que la IA redacte el presupuesto.</t>
        </is>
      </c>
    </row>
    <row r="7">
      <c r="A7" s="3" t="inlineStr">
        <is>
          <t>Extras</t>
        </is>
      </c>
      <c r="B7" s="4" t="inlineStr">
        <is>
          <t>Trabajos opcionales: algunos tienen precio fijo y otros se cobran por m².</t>
        </is>
      </c>
    </row>
    <row r="8">
      <c r="A8" s="3" t="inlineStr">
        <is>
          <t>Plazos</t>
        </is>
      </c>
      <c r="B8" s="4" t="inlineStr">
        <is>
          <t>Duración estimada de la obra según la estancia.</t>
        </is>
      </c>
    </row>
    <row r="9">
      <c r="A9" s="3" t="inlineStr">
        <is>
          <t>Condiciones</t>
        </is>
      </c>
      <c r="B9" s="4" t="inlineStr">
        <is>
          <t>Condiciones que aparecen al final de todos sus presupuestos.</t>
        </is>
      </c>
    </row>
    <row r="10">
      <c r="A10" s="3" t="inlineStr">
        <is>
          <t>Ejemplo de cálculo</t>
        </is>
      </c>
      <c r="B10" s="4" t="inlineStr">
        <is>
          <t>Un presupuesto real calculado paso a paso, para comprobar que tu flujo da lo mismo.</t>
        </is>
      </c>
    </row>
    <row r="11">
      <c r="A11" s="3" t="inlineStr"/>
      <c r="B11" s="4" t="inlineStr"/>
    </row>
    <row r="12">
      <c r="A12" s="3" t="inlineStr">
        <is>
          <t>Cómo se calcula</t>
        </is>
      </c>
      <c r="B12" s="4" t="inlineStr">
        <is>
          <t>Importe de la estancia = m² × tarifa (estancia y calidad).</t>
        </is>
      </c>
    </row>
    <row r="13">
      <c r="A13" s="3" t="inlineStr"/>
      <c r="B13" s="4" t="inlineStr">
        <is>
          <t>Extra «por m²» = m² × precio del extra.   Extra «fijo» = su precio, una vez.</t>
        </is>
      </c>
    </row>
    <row r="14">
      <c r="A14" s="3" t="inlineStr"/>
      <c r="B14" s="4" t="inlineStr">
        <is>
          <t>Subtotal = estancia + extras.   IVA = 21 % del subtotal.   Total = subtotal + IVA.</t>
        </is>
      </c>
    </row>
    <row r="15">
      <c r="A15" s="3" t="inlineStr"/>
      <c r="B15" s="4" t="inlineStr"/>
    </row>
    <row r="16">
      <c r="A16" s="5" t="inlineStr">
        <is>
          <t>Importante</t>
        </is>
      </c>
      <c r="B16" s="6" t="inlineStr">
        <is>
          <t>Los importes salen siempre de estas tablas. La IA redacta los textos, pero no inventa ni cambia precios.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4552D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24" customHeight="1">
      <c r="A1" s="1" t="inlineStr">
        <is>
          <t>Empresa</t>
        </is>
      </c>
    </row>
    <row r="2">
      <c r="A2" s="2" t="inlineStr">
        <is>
          <t>Datos de contacto e imagen de la empresa.</t>
        </is>
      </c>
    </row>
    <row r="4" ht="20" customHeight="1">
      <c r="A4" s="7" t="inlineStr">
        <is>
          <t>Campo</t>
        </is>
      </c>
      <c r="B4" s="7" t="inlineStr">
        <is>
          <t>Valor</t>
        </is>
      </c>
    </row>
    <row r="5">
      <c r="A5" s="8" t="inlineStr">
        <is>
          <t>Nombre comercial</t>
        </is>
      </c>
      <c r="B5" s="9" t="inlineStr">
        <is>
          <t>Reformas Barcelona</t>
        </is>
      </c>
    </row>
    <row r="6">
      <c r="A6" s="8" t="inlineStr">
        <is>
          <t>Razón social</t>
        </is>
      </c>
      <c r="B6" s="9" t="inlineStr">
        <is>
          <t>Reformas Barcelona, S.L. (empresa ficticia)</t>
        </is>
      </c>
    </row>
    <row r="7">
      <c r="A7" s="8" t="inlineStr">
        <is>
          <t>NIF</t>
        </is>
      </c>
      <c r="B7" s="9" t="inlineStr">
        <is>
          <t>B00000000 (ficticio)</t>
        </is>
      </c>
    </row>
    <row r="8">
      <c r="A8" s="8" t="inlineStr">
        <is>
          <t>Dirección</t>
        </is>
      </c>
      <c r="B8" s="9" t="inlineStr">
        <is>
          <t>Carrer de la Reforma, 12, 08005 Barcelona</t>
        </is>
      </c>
    </row>
    <row r="9">
      <c r="A9" s="8" t="inlineStr">
        <is>
          <t>Teléfono</t>
        </is>
      </c>
      <c r="B9" s="9" t="inlineStr">
        <is>
          <t>930 000 000</t>
        </is>
      </c>
    </row>
    <row r="10">
      <c r="A10" s="8" t="inlineStr">
        <is>
          <t>Email</t>
        </is>
      </c>
      <c r="B10" s="9" t="inlineStr">
        <is>
          <t>presupuestos@reformasbarcelona.example</t>
        </is>
      </c>
    </row>
    <row r="11">
      <c r="A11" s="8" t="inlineStr">
        <is>
          <t>Web</t>
        </is>
      </c>
      <c r="B11" s="9" t="inlineStr">
        <is>
          <t>www.reformasbarcelona.example</t>
        </is>
      </c>
    </row>
    <row r="12">
      <c r="A12" s="8" t="inlineStr">
        <is>
          <t>Gerente</t>
        </is>
      </c>
      <c r="B12" s="9" t="inlineStr">
        <is>
          <t>Jordi Ferrer</t>
        </is>
      </c>
    </row>
    <row r="13">
      <c r="A13" s="8" t="inlineStr">
        <is>
          <t>Desde</t>
        </is>
      </c>
      <c r="B13" s="9" t="inlineStr">
        <is>
          <t>1998 · 25 personas en plantilla</t>
        </is>
      </c>
    </row>
    <row r="14">
      <c r="A14" s="8" t="inlineStr">
        <is>
          <t>Color principal</t>
        </is>
      </c>
      <c r="B14" s="9" t="inlineStr">
        <is>
          <t>Terracota #C4552D</t>
        </is>
      </c>
    </row>
    <row r="15">
      <c r="A15" s="8" t="inlineStr">
        <is>
          <t>Color de texto</t>
        </is>
      </c>
      <c r="B15" s="9" t="inlineStr">
        <is>
          <t>Antracita #2A2A2A</t>
        </is>
      </c>
    </row>
    <row r="16">
      <c r="A16" s="8" t="inlineStr">
        <is>
          <t>Color de fondo</t>
        </is>
      </c>
      <c r="B16" s="9" t="inlineStr">
        <is>
          <t>Crema #F6F1EA</t>
        </is>
      </c>
    </row>
    <row r="17">
      <c r="A17" s="8" t="inlineStr">
        <is>
          <t>Tipografía sugerida</t>
        </is>
      </c>
      <c r="B17" s="9" t="inlineStr">
        <is>
          <t>Manrope (gratis en Google Fonts)</t>
        </is>
      </c>
    </row>
    <row r="18">
      <c r="A18" s="8" t="inlineStr">
        <is>
          <t>Tono con sus clientes</t>
        </is>
      </c>
      <c r="B18" s="9" t="inlineStr">
        <is>
          <t>Cercano y profesional, tratando al cliente de tú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552D"/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Tarifas</t>
        </is>
      </c>
    </row>
    <row r="2">
      <c r="A2" s="2" t="inlineStr">
        <is>
          <t>Precio por m², con materiales y mano de obra incluidos.</t>
        </is>
      </c>
    </row>
    <row r="4" ht="20" customHeight="1">
      <c r="A4" s="7" t="inlineStr">
        <is>
          <t>Estancia</t>
        </is>
      </c>
      <c r="B4" s="7" t="inlineStr">
        <is>
          <t>Calidad básica</t>
        </is>
      </c>
      <c r="C4" s="7" t="inlineStr">
        <is>
          <t>Calidad media</t>
        </is>
      </c>
      <c r="D4" s="7" t="inlineStr">
        <is>
          <t>Calidad alta</t>
        </is>
      </c>
    </row>
    <row r="5">
      <c r="A5" s="8" t="inlineStr">
        <is>
          <t>Baño</t>
        </is>
      </c>
      <c r="B5" s="10" t="n">
        <v>620</v>
      </c>
      <c r="C5" s="10" t="n">
        <v>880</v>
      </c>
      <c r="D5" s="10" t="n">
        <v>1250</v>
      </c>
    </row>
    <row r="6">
      <c r="A6" s="8" t="inlineStr">
        <is>
          <t>Cocina</t>
        </is>
      </c>
      <c r="B6" s="10" t="n">
        <v>680</v>
      </c>
      <c r="C6" s="10" t="n">
        <v>950</v>
      </c>
      <c r="D6" s="10" t="n">
        <v>1400</v>
      </c>
    </row>
    <row r="7">
      <c r="A7" s="8" t="inlineStr">
        <is>
          <t>Salón / comedor</t>
        </is>
      </c>
      <c r="B7" s="10" t="n">
        <v>110</v>
      </c>
      <c r="C7" s="10" t="n">
        <v>170</v>
      </c>
      <c r="D7" s="10" t="n">
        <v>260</v>
      </c>
    </row>
    <row r="8">
      <c r="A8" s="8" t="inlineStr">
        <is>
          <t>Dormitorio</t>
        </is>
      </c>
      <c r="B8" s="10" t="n">
        <v>100</v>
      </c>
      <c r="C8" s="10" t="n">
        <v>155</v>
      </c>
      <c r="D8" s="10" t="n">
        <v>240</v>
      </c>
    </row>
    <row r="9">
      <c r="A9" s="8" t="inlineStr">
        <is>
          <t>Vivienda completa</t>
        </is>
      </c>
      <c r="B9" s="10" t="n">
        <v>520</v>
      </c>
      <c r="C9" s="10" t="n">
        <v>750</v>
      </c>
      <c r="D9" s="10" t="n">
        <v>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552D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4" customHeight="1">
      <c r="A1" s="1" t="inlineStr">
        <is>
          <t>Qué incluye</t>
        </is>
      </c>
    </row>
    <row r="2">
      <c r="A2" s="2" t="inlineStr">
        <is>
          <t>Qué materiales entran en cada calidad de acabados.</t>
        </is>
      </c>
    </row>
    <row r="4" ht="20" customHeight="1">
      <c r="A4" s="7" t="inlineStr">
        <is>
          <t>Calidad</t>
        </is>
      </c>
      <c r="B4" s="7" t="inlineStr">
        <is>
          <t>Qué incluye</t>
        </is>
      </c>
    </row>
    <row r="5">
      <c r="A5" s="8" t="inlineStr">
        <is>
          <t>Básica</t>
        </is>
      </c>
      <c r="B5" s="9" t="inlineStr">
        <is>
          <t>Materiales de gama económica: azulejo cerámico liso, sanitarios y grifería estándar, pintura plástica blanca.</t>
        </is>
      </c>
    </row>
    <row r="6">
      <c r="A6" s="8" t="inlineStr">
        <is>
          <t>Media</t>
        </is>
      </c>
      <c r="B6" s="9" t="inlineStr">
        <is>
          <t>Gres porcelánico, grifería termostática, muebles de baño o cocina modulares, iluminación LED básica.</t>
        </is>
      </c>
    </row>
    <row r="7">
      <c r="A7" s="8" t="inlineStr">
        <is>
          <t>Alta</t>
        </is>
      </c>
      <c r="B7" s="9" t="inlineStr">
        <is>
          <t>Porcelánico de gran formato, carpintería a medida, encimeras de piedra, domótica básica e iluminación LED integrada.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552D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70" customWidth="1" min="4" max="4"/>
  </cols>
  <sheetData>
    <row r="1" ht="24" customHeight="1">
      <c r="A1" s="1" t="inlineStr">
        <is>
          <t>Extras</t>
        </is>
      </c>
    </row>
    <row r="2">
      <c r="A2" s="2" t="inlineStr">
        <is>
          <t>Trabajos opcionales. «Por m²» usa los mismos m² de la estancia.</t>
        </is>
      </c>
    </row>
    <row r="4" ht="20" customHeight="1">
      <c r="A4" s="7" t="inlineStr">
        <is>
          <t>Extra</t>
        </is>
      </c>
      <c r="B4" s="7" t="inlineStr">
        <is>
          <t>Tipo</t>
        </is>
      </c>
      <c r="C4" s="7" t="inlineStr">
        <is>
          <t>Precio</t>
        </is>
      </c>
      <c r="D4" s="7" t="inlineStr">
        <is>
          <t>Descripción</t>
        </is>
      </c>
    </row>
    <row r="5">
      <c r="A5" s="8" t="inlineStr">
        <is>
          <t>Demolición y retirada de escombros</t>
        </is>
      </c>
      <c r="B5" s="9" t="inlineStr">
        <is>
          <t>por m²</t>
        </is>
      </c>
      <c r="C5" s="10" t="n">
        <v>35</v>
      </c>
      <c r="D5" s="9" t="inlineStr">
        <is>
          <t>Quitar el revestimiento y los sanitarios actuales y llevar los escombros al punto limpio.</t>
        </is>
      </c>
    </row>
    <row r="6">
      <c r="A6" s="8" t="inlineStr">
        <is>
          <t>Fontanería nueva</t>
        </is>
      </c>
      <c r="B6" s="9" t="inlineStr">
        <is>
          <t>fijo</t>
        </is>
      </c>
      <c r="C6" s="10" t="n">
        <v>1200</v>
      </c>
      <c r="D6" s="9" t="inlineStr">
        <is>
          <t>Cambiar todas las tuberías de agua y desagües de la estancia.</t>
        </is>
      </c>
    </row>
    <row r="7">
      <c r="A7" s="8" t="inlineStr">
        <is>
          <t>Instalación eléctrica nueva</t>
        </is>
      </c>
      <c r="B7" s="9" t="inlineStr">
        <is>
          <t>fijo</t>
        </is>
      </c>
      <c r="C7" s="10" t="n">
        <v>1500</v>
      </c>
      <c r="D7" s="9" t="inlineStr">
        <is>
          <t>Cableado, enchufes, mecanismos y cuadro eléctrico nuevos, con boletín.</t>
        </is>
      </c>
    </row>
    <row r="8">
      <c r="A8" s="8" t="inlineStr">
        <is>
          <t>Pintura de paredes y techos</t>
        </is>
      </c>
      <c r="B8" s="9" t="inlineStr">
        <is>
          <t>por m²</t>
        </is>
      </c>
      <c r="C8" s="10" t="n">
        <v>12</v>
      </c>
      <c r="D8" s="9" t="inlineStr">
        <is>
          <t>Dos manos de pintura plástica en paredes y techo.</t>
        </is>
      </c>
    </row>
    <row r="9">
      <c r="A9" s="8" t="inlineStr">
        <is>
          <t>Suelo radiante</t>
        </is>
      </c>
      <c r="B9" s="9" t="inlineStr">
        <is>
          <t>por m²</t>
        </is>
      </c>
      <c r="C9" s="10" t="n">
        <v>75</v>
      </c>
      <c r="D9" s="9" t="inlineStr">
        <is>
          <t>Suelo radiante por agua, conectado a la caldera existente.</t>
        </is>
      </c>
    </row>
    <row r="10">
      <c r="A10" s="8" t="inlineStr">
        <is>
          <t>Aire acondicionado (1 split)</t>
        </is>
      </c>
      <c r="B10" s="9" t="inlineStr">
        <is>
          <t>fijo</t>
        </is>
      </c>
      <c r="C10" s="10" t="n">
        <v>1100</v>
      </c>
      <c r="D10" s="9" t="inlineStr">
        <is>
          <t>Suministro e instalación de un equipo split con bomba de calor.</t>
        </is>
      </c>
    </row>
    <row r="11">
      <c r="A11" s="8" t="inlineStr">
        <is>
          <t>Gestión de licencia de obra</t>
        </is>
      </c>
      <c r="B11" s="9" t="inlineStr">
        <is>
          <t>fijo</t>
        </is>
      </c>
      <c r="C11" s="10" t="n">
        <v>350</v>
      </c>
      <c r="D11" s="9" t="inlineStr">
        <is>
          <t>Tramitación del permiso de obra en el ayuntamiento.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552D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4" customHeight="1">
      <c r="A1" s="1" t="inlineStr">
        <is>
          <t>Plazos</t>
        </is>
      </c>
    </row>
    <row r="2">
      <c r="A2" s="2" t="inlineStr">
        <is>
          <t>Duración estimada de la obra.</t>
        </is>
      </c>
    </row>
    <row r="4" ht="20" customHeight="1">
      <c r="A4" s="7" t="inlineStr">
        <is>
          <t>Estancia</t>
        </is>
      </c>
      <c r="B4" s="7" t="inlineStr">
        <is>
          <t>Plazo estimado</t>
        </is>
      </c>
    </row>
    <row r="5">
      <c r="A5" s="8" t="inlineStr">
        <is>
          <t>Baño</t>
        </is>
      </c>
      <c r="B5" s="9" t="inlineStr">
        <is>
          <t>2–3 semanas</t>
        </is>
      </c>
    </row>
    <row r="6">
      <c r="A6" s="8" t="inlineStr">
        <is>
          <t>Cocina</t>
        </is>
      </c>
      <c r="B6" s="9" t="inlineStr">
        <is>
          <t>3–4 semanas</t>
        </is>
      </c>
    </row>
    <row r="7">
      <c r="A7" s="8" t="inlineStr">
        <is>
          <t>Salón / comedor</t>
        </is>
      </c>
      <c r="B7" s="9" t="inlineStr">
        <is>
          <t>1–2 semanas</t>
        </is>
      </c>
    </row>
    <row r="8">
      <c r="A8" s="8" t="inlineStr">
        <is>
          <t>Dormitorio</t>
        </is>
      </c>
      <c r="B8" s="9" t="inlineStr">
        <is>
          <t>1–2 semanas</t>
        </is>
      </c>
    </row>
    <row r="9">
      <c r="A9" s="8" t="inlineStr">
        <is>
          <t>Vivienda completa</t>
        </is>
      </c>
      <c r="B9" s="9" t="inlineStr">
        <is>
          <t>8–12 semanas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4552D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4" customHeight="1">
      <c r="A1" s="1" t="inlineStr">
        <is>
          <t>Condiciones</t>
        </is>
      </c>
    </row>
    <row r="2">
      <c r="A2" s="2" t="inlineStr">
        <is>
          <t>Aparecen al final de todos sus presupuestos.</t>
        </is>
      </c>
    </row>
    <row r="4" ht="20" customHeight="1">
      <c r="A4" s="7" t="inlineStr">
        <is>
          <t>Condición</t>
        </is>
      </c>
      <c r="B4" s="7" t="inlineStr">
        <is>
          <t>Detalle</t>
        </is>
      </c>
    </row>
    <row r="5">
      <c r="A5" s="8" t="inlineStr">
        <is>
          <t>Validez del presupuesto</t>
        </is>
      </c>
      <c r="B5" s="9" t="inlineStr">
        <is>
          <t>30 días desde la fecha de emisión</t>
        </is>
      </c>
    </row>
    <row r="6">
      <c r="A6" s="8" t="inlineStr">
        <is>
          <t>Forma de pago</t>
        </is>
      </c>
      <c r="B6" s="9" t="inlineStr">
        <is>
          <t>40 % al aceptar el presupuesto, 40 % a mitad de obra y 20 % al terminar</t>
        </is>
      </c>
    </row>
    <row r="7">
      <c r="A7" s="8" t="inlineStr">
        <is>
          <t>IVA</t>
        </is>
      </c>
      <c r="B7" s="9" t="inlineStr">
        <is>
          <t>21 % sobre el subtotal (simplificado para este ejercicio)</t>
        </is>
      </c>
    </row>
    <row r="8">
      <c r="A8" s="8" t="inlineStr">
        <is>
          <t>Qué incluye el precio</t>
        </is>
      </c>
      <c r="B8" s="9" t="inlineStr">
        <is>
          <t>Materiales, mano de obra y limpieza final de la obra</t>
        </is>
      </c>
    </row>
    <row r="9">
      <c r="A9" s="8" t="inlineStr">
        <is>
          <t>Garantía</t>
        </is>
      </c>
      <c r="B9" s="9" t="inlineStr">
        <is>
          <t>2 años en mano de obra</t>
        </is>
      </c>
    </row>
    <row r="10">
      <c r="A10" s="8" t="inlineStr">
        <is>
          <t>Visita técnica</t>
        </is>
      </c>
      <c r="B10" s="9" t="inlineStr">
        <is>
          <t>Gratuita. El presupuesto es orientativo hasta confirmar medidas en la visita</t>
        </is>
      </c>
    </row>
    <row r="11">
      <c r="A11" s="8" t="inlineStr">
        <is>
          <t>Numeración</t>
        </is>
      </c>
      <c r="B11" s="9" t="inlineStr">
        <is>
          <t>P-2026-0001, P-2026-0002… (opcional)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552D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6" customWidth="1" min="4" max="4"/>
    <col width="16" customWidth="1" min="5" max="5"/>
  </cols>
  <sheetData>
    <row r="1" ht="24" customHeight="1">
      <c r="A1" s="1" t="inlineStr">
        <is>
          <t>Ejemplo de cálculo</t>
        </is>
      </c>
    </row>
    <row r="2">
      <c r="A2" s="2" t="inlineStr">
        <is>
          <t>Presupuesto P-2026-0147 · Marta Puig · baño de 6 m², calidad media.</t>
        </is>
      </c>
    </row>
    <row r="4">
      <c r="A4" s="3" t="inlineStr">
        <is>
          <t>Cliente</t>
        </is>
      </c>
      <c r="B4" s="11" t="inlineStr">
        <is>
          <t>Marta Puig</t>
        </is>
      </c>
    </row>
    <row r="5">
      <c r="A5" s="3" t="inlineStr">
        <is>
          <t>Estancia</t>
        </is>
      </c>
      <c r="B5" s="11" t="inlineStr">
        <is>
          <t>Baño</t>
        </is>
      </c>
    </row>
    <row r="6">
      <c r="A6" s="3" t="inlineStr">
        <is>
          <t>m²</t>
        </is>
      </c>
      <c r="B6" s="11" t="n">
        <v>6</v>
      </c>
    </row>
    <row r="7">
      <c r="A7" s="3" t="inlineStr">
        <is>
          <t>Calidad</t>
        </is>
      </c>
      <c r="B7" s="11" t="inlineStr">
        <is>
          <t>Media</t>
        </is>
      </c>
    </row>
    <row r="8" ht="44" customHeight="1">
      <c r="A8" s="3" t="inlineStr">
        <is>
          <t>Lo que pidió</t>
        </is>
      </c>
      <c r="B8" s="4" t="inlineStr">
        <is>
          <t>Quiero cambiar la bañera por un plato de ducha grande y poner un mueble con dos lavabos. El baño tiene unos 30 años y las tuberías son las originales.</t>
        </is>
      </c>
    </row>
    <row r="10" ht="20" customHeight="1">
      <c r="A10" s="7" t="inlineStr">
        <is>
          <t>Concepto</t>
        </is>
      </c>
      <c r="B10" s="7" t="inlineStr">
        <is>
          <t>Cantidad</t>
        </is>
      </c>
      <c r="C10" s="7" t="inlineStr">
        <is>
          <t>Unidad</t>
        </is>
      </c>
      <c r="D10" s="7" t="inlineStr">
        <is>
          <t>Precio unitario</t>
        </is>
      </c>
      <c r="E10" s="7" t="inlineStr">
        <is>
          <t>Importe</t>
        </is>
      </c>
    </row>
    <row r="11">
      <c r="A11" s="9" t="inlineStr">
        <is>
          <t>Reforma de baño · calidad media</t>
        </is>
      </c>
      <c r="B11" s="9" t="n">
        <v>6</v>
      </c>
      <c r="C11" s="9" t="inlineStr">
        <is>
          <t>m²</t>
        </is>
      </c>
      <c r="D11" s="10" t="n">
        <v>880</v>
      </c>
      <c r="E11" s="10">
        <f>B11*D11</f>
        <v/>
      </c>
    </row>
    <row r="12">
      <c r="A12" s="9" t="inlineStr">
        <is>
          <t>Demolición y retirada de escombros</t>
        </is>
      </c>
      <c r="B12" s="9" t="n">
        <v>6</v>
      </c>
      <c r="C12" s="9" t="inlineStr">
        <is>
          <t>m²</t>
        </is>
      </c>
      <c r="D12" s="10" t="n">
        <v>35</v>
      </c>
      <c r="E12" s="10">
        <f>B12*D12</f>
        <v/>
      </c>
    </row>
    <row r="13">
      <c r="A13" s="9" t="inlineStr">
        <is>
          <t>Fontanería nueva</t>
        </is>
      </c>
      <c r="B13" s="9" t="n">
        <v>1</v>
      </c>
      <c r="C13" s="9" t="inlineStr">
        <is>
          <t>ud.</t>
        </is>
      </c>
      <c r="D13" s="10" t="n">
        <v>1200</v>
      </c>
      <c r="E13" s="10">
        <f>B13*D13</f>
        <v/>
      </c>
    </row>
    <row r="14">
      <c r="D14" s="3" t="inlineStr">
        <is>
          <t>Subtotal</t>
        </is>
      </c>
      <c r="E14" s="12">
        <f>SUM(E11:E13)</f>
        <v/>
      </c>
    </row>
    <row r="15">
      <c r="D15" s="3" t="inlineStr">
        <is>
          <t>IVA (21 %)</t>
        </is>
      </c>
      <c r="E15" s="12">
        <f>ROUND(E14*0.21,2)</f>
        <v/>
      </c>
    </row>
    <row r="16">
      <c r="D16" s="3" t="inlineStr">
        <is>
          <t>Total</t>
        </is>
      </c>
      <c r="E16" s="13">
        <f>E14+E15</f>
        <v/>
      </c>
    </row>
    <row r="18">
      <c r="A18" s="14" t="inlineStr">
        <is>
          <t>Resultado esperado: subtotal 6.690 € · IVA 1.404,90 € · total 8.094,90 €</t>
        </is>
      </c>
    </row>
  </sheetData>
  <mergeCells count="1"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2026-10-08T17:07:01Z</dcterms:created>
  <dcterms:modified xmlns:dcterms="http://purl.org/dc/terms/" xmlns:xsi="http://www.w3.org/2001/XMLSchema-instance" xsi:type="dcterms:W3CDTF">2026-10-08T17:07:01Z</dcterms:modified>
</cp:coreProperties>
</file>